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QUIDACIÓN" sheetId="1" state="visible" r:id="rId3"/>
  </sheets>
  <definedNames>
    <definedName function="false" hidden="false" localSheetId="0" name="_xlnm.Print_Area" vbProcedure="false">LIQUIDACIÓN!$B$2:$E$98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<sst xmlns="http://schemas.openxmlformats.org/spreadsheetml/2006/main" count="62" uniqueCount="48">
  <si>
    <t xml:space="preserve">LIQUIDACIÓN POR TERMINACIÓN DE CONTRATO DE TRABAJO A TÉRMINO INDEFINIDO</t>
  </si>
  <si>
    <t xml:space="preserve">NOMBRE</t>
  </si>
  <si>
    <t xml:space="preserve">ANDRÉS FELIPE GÓMEZ LEÓN</t>
  </si>
  <si>
    <t xml:space="preserve">DOCUMENTO DE IDENTIDAD</t>
  </si>
  <si>
    <t xml:space="preserve">C.C. 16.890.321</t>
  </si>
  <si>
    <t xml:space="preserve">CARGO</t>
  </si>
  <si>
    <t xml:space="preserve">PROFESIONAL DE MERCADEO</t>
  </si>
  <si>
    <t xml:space="preserve">CENTRO DE COSTOS</t>
  </si>
  <si>
    <t xml:space="preserve">Cali</t>
  </si>
  <si>
    <t xml:space="preserve">FECHA DE INICIO   </t>
  </si>
  <si>
    <t xml:space="preserve">FECHA TERMINACIÓN CONTRATO</t>
  </si>
  <si>
    <t xml:space="preserve">MOTIVO DE TERMINACIÓN:</t>
  </si>
  <si>
    <t xml:space="preserve">Sin especificar</t>
  </si>
  <si>
    <t xml:space="preserve">SALARIO BASICO</t>
  </si>
  <si>
    <t xml:space="preserve">HORAS EXTRA, RECARGOS Y/O COMISIONES PROMEDIO</t>
  </si>
  <si>
    <t xml:space="preserve">AUXILIO DE TRANSPORTE</t>
  </si>
  <si>
    <t xml:space="preserve">SALARIO BASE LIQUIDACIÓN</t>
  </si>
  <si>
    <t xml:space="preserve">ENERO</t>
  </si>
  <si>
    <t xml:space="preserve">CESANTÍAS 2026</t>
  </si>
  <si>
    <t xml:space="preserve">Del 01 de Marzo de 2025 (sin definir)</t>
  </si>
  <si>
    <t xml:space="preserve">FEBRERO</t>
  </si>
  <si>
    <t xml:space="preserve">0</t>
  </si>
  <si>
    <t xml:space="preserve">MARZO</t>
  </si>
  <si>
    <t xml:space="preserve">ABRIL</t>
  </si>
  <si>
    <t xml:space="preserve">INT. CESANTIAS 2026</t>
  </si>
  <si>
    <t xml:space="preserve">MAYO</t>
  </si>
  <si>
    <t xml:space="preserve">PRIMA DE SERVICIOS</t>
  </si>
  <si>
    <t xml:space="preserve">VACACIONES</t>
  </si>
  <si>
    <t xml:space="preserve">Sin registro de disfrute</t>
  </si>
  <si>
    <t xml:space="preserve">TOTAL LIQUIDACIÓN</t>
  </si>
  <si>
    <t xml:space="preserve">ADICIONALES</t>
  </si>
  <si>
    <t xml:space="preserve">SALARIO DEL 01 AL 04 DE MAYO DE 2026</t>
  </si>
  <si>
    <t xml:space="preserve">HORAS EXTRA Y RECARGOS</t>
  </si>
  <si>
    <t xml:space="preserve">(-) SALUD</t>
  </si>
  <si>
    <t xml:space="preserve">(-) PENSIÓN</t>
  </si>
  <si>
    <t xml:space="preserve">TOTAL ADICIONAL</t>
  </si>
  <si>
    <t xml:space="preserve">NETO A PAGAR</t>
  </si>
  <si>
    <t xml:space="preserve">Recibo valor de liquidación. (Documento con inconsistencias de fechas y bases pendientes de revisión).</t>
  </si>
  <si>
    <t xml:space="preserve">Recibí,</t>
  </si>
  <si>
    <t xml:space="preserve">Aprobó,</t>
  </si>
  <si>
    <t xml:space="preserve">Representante Legal</t>
  </si>
  <si>
    <t xml:space="preserve">INDEMNIZACIÓN</t>
  </si>
  <si>
    <t xml:space="preserve">TIPO DE CONTRATO</t>
  </si>
  <si>
    <t xml:space="preserve">Término indefinido</t>
  </si>
  <si>
    <t xml:space="preserve">FECHA TERMINACION CONTRATO</t>
  </si>
  <si>
    <t xml:space="preserve">Primer año - 30 días de salario</t>
  </si>
  <si>
    <t xml:space="preserve">NETO A PAGAR INDEMNIZACIÓN</t>
  </si>
  <si>
    <t xml:space="preserve">Recibo la suma de un millón setecientos cincuenta mil novecientos cinco pesos m/c ($1.750.905.oo), a título de indemnización, declarando a xxxxxxxxxxxxxxx, estar a paz y salvo por concepto de indemnizaciones o derechos inciertos laborales y cualquier tipo de derecho cierto e indiscutible derivado del contrato de trabajo y la relación laboral habida a la fecha, la cual finaliza el día 04 de mayo de 2026.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</si>
</sst>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_(&quot;$ &quot;* #,##0.00_);_(&quot;$ &quot;* \(#,##0.00\);_(&quot;$ &quot;* \-??_);_(@_)"/>
    <numFmt numFmtId="166" formatCode="_(\$* #,##0.00_);_(\$* \(#,##0.00\);_(\$* \-??_);_(@_)"/>
    <numFmt numFmtId="167" formatCode="0"/>
    <numFmt numFmtId="168" formatCode="_(&quot;$ &quot;* #,##0_);_(&quot;$ &quot;* \(#,##0\);_(&quot;$ &quot;* \-??_);_(@_)"/>
    <numFmt numFmtId="169" formatCode="_-&quot;$ &quot;* #,##0_-;&quot;-$ &quot;* #,##0_-;_-&quot;$ &quot;* \-??_-;_-@_-"/>
    <numFmt numFmtId="170" formatCode="#,##0"/>
    <numFmt numFmtId="171" formatCode="m/d/yyyy"/>
    <numFmt numFmtId="172" formatCode="[$-F800]dddd&quot;, &quot;mmmm\ dd&quot;, &quot;yyyy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Arial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1"/>
      <color theme="1"/>
      <name val="Arial"/>
      <family val="2"/>
      <charset val="1"/>
    </font>
    <font>
      <sz val="11"/>
      <color theme="1"/>
      <name val="Arial"/>
      <family val="2"/>
      <charset val="1"/>
    </font>
    <font>
      <b val="true"/>
      <sz val="11"/>
      <color theme="0"/>
      <name val="Arial"/>
      <family val="2"/>
      <charset val="1"/>
    </font>
    <font>
      <b val="true"/>
      <sz val="12"/>
      <color theme="1"/>
      <name val="Arial"/>
      <family val="2"/>
      <charset val="1"/>
    </font>
    <font>
      <sz val="11"/>
      <name val="Arial"/>
      <family val="2"/>
      <charset val="1"/>
    </font>
    <font>
      <sz val="11"/>
      <color theme="0"/>
      <name val="Arial"/>
      <family val="2"/>
      <charset val="1"/>
    </font>
    <font>
      <sz val="11"/>
      <color rgb="FFFF0000"/>
      <name val="Arial"/>
      <family val="2"/>
      <charset val="1"/>
    </font>
    <font>
      <b val="true"/>
      <sz val="14"/>
      <color theme="0"/>
      <name val="Arial"/>
      <family val="2"/>
      <charset val="1"/>
    </font>
    <font>
      <sz val="14"/>
      <color theme="0"/>
      <name val="Arial"/>
      <family val="2"/>
      <charset val="1"/>
    </font>
    <font>
      <sz val="12"/>
      <color theme="1"/>
      <name val="Arial"/>
      <family val="2"/>
      <charset val="1"/>
    </font>
    <font>
      <b val="true"/>
      <sz val="12"/>
      <color rgb="FFFF0000"/>
      <name val="Arial"/>
      <family val="2"/>
      <charset val="1"/>
    </font>
    <font>
      <sz val="12"/>
      <color rgb="FFFF0000"/>
      <name val="Arial"/>
      <family val="2"/>
      <charset val="1"/>
    </font>
    <font>
      <b val="true"/>
      <sz val="12"/>
      <color theme="0"/>
      <name val="Arial"/>
      <family val="2"/>
      <charset val="1"/>
    </font>
    <font>
      <sz val="12"/>
      <color theme="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5" tint="-0.25"/>
        <bgColor rgb="FF993300"/>
      </patternFill>
    </fill>
    <fill>
      <patternFill patternType="solid">
        <fgColor rgb="FFFFFF00"/>
        <bgColor rgb="FFFFFF00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9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2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7" fillId="2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7" fillId="2" borderId="0" xfId="17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7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5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6" fillId="2" borderId="5" xfId="1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5" xfId="1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5" xfId="1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0" xfId="17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6" fillId="2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7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2" borderId="5" xfId="1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2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0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7" fillId="2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0" fillId="2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9" fillId="2" borderId="5" xfId="1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0" borderId="5" xfId="1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5" xfId="1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3" borderId="0" xfId="17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2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5" xfId="1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4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2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2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3" borderId="5" xfId="1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5" fillId="4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2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6" fillId="2" borderId="0" xfId="17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6" fillId="2" borderId="5" xfId="17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6" fillId="2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7" fillId="2" borderId="5" xfId="17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4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9" fillId="2" borderId="0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2" borderId="0" xfId="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5" fillId="2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5" fillId="0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0" xfId="21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5" fillId="2" borderId="0" xfId="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15" fillId="2" borderId="0" xfId="21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2" fontId="15" fillId="2" borderId="0" xfId="21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8" fontId="9" fillId="2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0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0" xfId="21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7" fillId="2" borderId="0" xfId="21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8" fontId="17" fillId="2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0" xfId="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19" fillId="3" borderId="0" xfId="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8" fillId="3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15" fillId="0" borderId="0" xfId="17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21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8" fontId="9" fillId="2" borderId="0" xfId="21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oneda 2" xfId="20"/>
    <cellStyle name="Normal 2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55A1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Tema de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97"/>
  <sheetViews>
    <sheetView showFormulas="false" showGridLines="true" showRowColHeaders="true" showZeros="true" rightToLeft="false" tabSelected="true" showOutlineSymbols="true" defaultGridColor="true" view="normal" topLeftCell="A85" colorId="64" zoomScale="98" zoomScaleNormal="98" zoomScalePageLayoutView="100" workbookViewId="0">
      <selection pane="topLeft" activeCell="B92" activeCellId="0" sqref="B92"/>
    </sheetView>
  </sheetViews>
  <sheetFormatPr defaultColWidth="10.6796875" defaultRowHeight="14.25" zeroHeight="false" outlineLevelRow="0" outlineLevelCol="0"/>
  <cols>
    <col collapsed="false" customWidth="true" hidden="false" outlineLevel="0" max="1" min="1" style="0" width="3.82"/>
    <col collapsed="false" customWidth="true" hidden="false" outlineLevel="0" max="2" min="2" style="0" width="58.63"/>
    <col collapsed="false" customWidth="true" hidden="false" outlineLevel="0" max="3" min="3" style="0" width="38.18"/>
    <col collapsed="false" customWidth="true" hidden="false" outlineLevel="0" max="4" min="4" style="0" width="25.18"/>
    <col collapsed="false" customWidth="true" hidden="false" outlineLevel="0" max="5" min="5" style="0" width="15.63"/>
    <col collapsed="false" customWidth="true" hidden="false" outlineLevel="0" max="6" min="6" style="0" width="19.18"/>
    <col collapsed="false" customWidth="true" hidden="false" outlineLevel="0" max="7" min="7" style="0" width="19.63"/>
    <col collapsed="false" customWidth="true" hidden="false" outlineLevel="0" max="8" min="8" style="1" width="17.82"/>
    <col collapsed="false" customWidth="true" hidden="false" outlineLevel="0" max="10" min="10" style="0" width="12.09"/>
  </cols>
  <sheetData>
    <row r="2" customFormat="false" ht="21" hidden="false" customHeight="true" outlineLevel="0" collapsed="false">
      <c r="B2" s="2" t="s">
        <v>0</v>
      </c>
      <c r="C2" s="2"/>
      <c r="D2" s="2"/>
      <c r="E2" s="2"/>
    </row>
    <row r="3" customFormat="false" ht="14.25" hidden="false" customHeight="false" outlineLevel="0" collapsed="false">
      <c r="B3" s="2"/>
      <c r="C3" s="2"/>
      <c r="D3" s="2"/>
      <c r="E3" s="2"/>
    </row>
    <row r="4" customFormat="false" ht="14.25" hidden="false" customHeight="false" outlineLevel="0" collapsed="false">
      <c r="B4" s="3"/>
      <c r="C4" s="3"/>
      <c r="D4" s="4"/>
    </row>
    <row r="5" customFormat="false" ht="15" hidden="false" customHeight="true" outlineLevel="0" collapsed="false">
      <c r="B5" s="3"/>
      <c r="C5" s="3"/>
      <c r="D5" s="4"/>
      <c r="G5" s="5"/>
      <c r="H5" s="5"/>
    </row>
    <row r="6" customFormat="false" ht="14.25" hidden="false" customHeight="false" outlineLevel="0" collapsed="false">
      <c r="B6" s="6" t="s">
        <v>1</v>
      </c>
      <c r="C6" s="7" t="s">
        <v>2</v>
      </c>
      <c r="D6" s="7"/>
      <c r="E6" s="8"/>
      <c r="G6" s="9"/>
    </row>
    <row r="7" customFormat="false" ht="14.25" hidden="false" customHeight="false" outlineLevel="0" collapsed="false">
      <c r="B7" s="10" t="s">
        <v>3</v>
      </c>
      <c r="C7" s="11" t="s">
        <v>4</v>
      </c>
      <c r="D7" s="12"/>
      <c r="E7" s="13"/>
      <c r="G7" s="9"/>
    </row>
    <row r="8" customFormat="false" ht="14.25" hidden="false" customHeight="false" outlineLevel="0" collapsed="false">
      <c r="B8" s="10" t="s">
        <v>5</v>
      </c>
      <c r="C8" s="14" t="s">
        <v>6</v>
      </c>
      <c r="D8" s="14"/>
      <c r="E8" s="13"/>
      <c r="G8" s="9"/>
    </row>
    <row r="9" customFormat="false" ht="14.25" hidden="false" customHeight="false" outlineLevel="0" collapsed="false">
      <c r="B9" s="10" t="s">
        <v>7</v>
      </c>
      <c r="C9" s="14" t="s">
        <v>8</v>
      </c>
      <c r="D9" s="14"/>
      <c r="E9" s="13"/>
      <c r="G9" s="9"/>
    </row>
    <row r="10" customFormat="false" ht="14.25" hidden="false" customHeight="false" outlineLevel="0" collapsed="false">
      <c r="B10" s="10"/>
      <c r="C10" s="15"/>
      <c r="D10" s="16"/>
      <c r="E10" s="17"/>
      <c r="G10" s="9"/>
    </row>
    <row r="11" customFormat="false" ht="14.25" hidden="false" customHeight="false" outlineLevel="0" collapsed="false">
      <c r="B11" s="18" t="s">
        <v>9</v>
      </c>
      <c r="C11" s="19" t="n">
        <v>46082</v>
      </c>
      <c r="D11" s="12"/>
      <c r="E11" s="13"/>
      <c r="G11" s="20"/>
      <c r="H11" s="21"/>
    </row>
    <row r="12" customFormat="false" ht="14.25" hidden="false" customHeight="false" outlineLevel="0" collapsed="false">
      <c r="B12" s="10" t="s">
        <v>10</v>
      </c>
      <c r="C12" s="19" t="n">
        <v>45717</v>
      </c>
      <c r="D12" s="12"/>
      <c r="E12" s="13"/>
      <c r="G12" s="9"/>
    </row>
    <row r="13" customFormat="false" ht="14.25" hidden="false" customHeight="false" outlineLevel="0" collapsed="false">
      <c r="B13" s="10" t="s">
        <v>11</v>
      </c>
      <c r="C13" s="22" t="s">
        <v>12</v>
      </c>
      <c r="D13" s="12"/>
      <c r="E13" s="13"/>
      <c r="G13" s="9"/>
    </row>
    <row r="14" customFormat="false" ht="14.25" hidden="false" customHeight="false" outlineLevel="0" collapsed="false">
      <c r="B14" s="23"/>
      <c r="C14" s="24"/>
      <c r="D14" s="25"/>
      <c r="E14" s="25"/>
      <c r="F14" s="26"/>
      <c r="G14" s="9"/>
    </row>
    <row r="15" customFormat="false" ht="14.25" hidden="false" customHeight="false" outlineLevel="0" collapsed="false">
      <c r="B15" s="23" t="s">
        <v>13</v>
      </c>
      <c r="C15" s="16" t="n">
        <v>1750905</v>
      </c>
      <c r="D15" s="12"/>
      <c r="E15" s="27"/>
      <c r="F15" s="28" t="n">
        <f aca="false">+C15+C16</f>
        <v>1750905</v>
      </c>
      <c r="G15" s="9"/>
    </row>
    <row r="16" customFormat="false" ht="14.25" hidden="false" customHeight="false" outlineLevel="0" collapsed="false">
      <c r="B16" s="23" t="s">
        <v>14</v>
      </c>
      <c r="C16" s="9" t="n">
        <v>0</v>
      </c>
      <c r="D16" s="12"/>
      <c r="E16" s="27"/>
      <c r="F16" s="28"/>
      <c r="G16" s="9"/>
    </row>
    <row r="17" customFormat="false" ht="14.25" hidden="false" customHeight="false" outlineLevel="0" collapsed="false">
      <c r="B17" s="23" t="s">
        <v>15</v>
      </c>
      <c r="C17" s="16" t="n">
        <v>249095</v>
      </c>
      <c r="D17" s="12"/>
      <c r="E17" s="27"/>
      <c r="G17" s="9"/>
    </row>
    <row r="18" customFormat="false" ht="14.25" hidden="false" customHeight="false" outlineLevel="0" collapsed="false">
      <c r="B18" s="29" t="s">
        <v>16</v>
      </c>
      <c r="C18" s="30" t="n">
        <f aca="false">+C15+C17+C16</f>
        <v>2000000</v>
      </c>
      <c r="D18" s="30"/>
      <c r="E18" s="31"/>
      <c r="G18" s="9"/>
    </row>
    <row r="19" customFormat="false" ht="14.25" hidden="false" customHeight="false" outlineLevel="0" collapsed="false">
      <c r="B19" s="10"/>
      <c r="C19" s="32"/>
      <c r="D19" s="12"/>
      <c r="E19" s="13"/>
      <c r="G19" s="9" t="s">
        <v>17</v>
      </c>
      <c r="H19" s="1" t="n">
        <f aca="false">30-16+1</f>
        <v>15</v>
      </c>
    </row>
    <row r="20" customFormat="false" ht="15" hidden="false" customHeight="true" outlineLevel="0" collapsed="false">
      <c r="B20" s="33" t="s">
        <v>18</v>
      </c>
      <c r="C20" s="34" t="s">
        <v>19</v>
      </c>
      <c r="D20" s="34"/>
      <c r="E20" s="35"/>
      <c r="G20" s="9" t="s">
        <v>20</v>
      </c>
      <c r="H20" s="1" t="n">
        <v>30</v>
      </c>
    </row>
    <row r="21" customFormat="false" ht="15" hidden="false" customHeight="true" outlineLevel="0" collapsed="false">
      <c r="B21" s="36" t="s">
        <v>21</v>
      </c>
      <c r="C21" s="36"/>
      <c r="D21" s="35" t="n">
        <f aca="false">(C18*0)/360</f>
        <v>0</v>
      </c>
      <c r="E21" s="35"/>
      <c r="G21" s="37" t="s">
        <v>22</v>
      </c>
      <c r="H21" s="1" t="n">
        <v>30</v>
      </c>
    </row>
    <row r="22" customFormat="false" ht="14.25" hidden="false" customHeight="false" outlineLevel="0" collapsed="false">
      <c r="B22" s="10"/>
      <c r="C22" s="38"/>
      <c r="D22" s="12"/>
      <c r="E22" s="13"/>
      <c r="G22" s="20" t="s">
        <v>23</v>
      </c>
      <c r="H22" s="21" t="n">
        <v>30</v>
      </c>
    </row>
    <row r="23" customFormat="false" ht="14.25" hidden="false" customHeight="false" outlineLevel="0" collapsed="false">
      <c r="B23" s="10" t="s">
        <v>24</v>
      </c>
      <c r="C23" s="34" t="s">
        <v>19</v>
      </c>
      <c r="D23" s="34"/>
      <c r="E23" s="13"/>
      <c r="G23" s="37" t="s">
        <v>25</v>
      </c>
      <c r="H23" s="1" t="n">
        <v>4</v>
      </c>
    </row>
    <row r="24" customFormat="false" ht="15" hidden="false" customHeight="true" outlineLevel="0" collapsed="false">
      <c r="B24" s="39" t="s">
        <v>21</v>
      </c>
      <c r="C24" s="39"/>
      <c r="D24" s="35" t="n">
        <f aca="false">((+D21*0)*0.12)/360</f>
        <v>0</v>
      </c>
      <c r="E24" s="35"/>
      <c r="G24" s="9"/>
      <c r="H24" s="1" t="n">
        <f aca="false">+SUM(H19:H23)</f>
        <v>109</v>
      </c>
    </row>
    <row r="25" customFormat="false" ht="14.25" hidden="false" customHeight="false" outlineLevel="0" collapsed="false">
      <c r="B25" s="10"/>
      <c r="C25" s="38"/>
      <c r="D25" s="12"/>
      <c r="E25" s="13"/>
      <c r="G25" s="37"/>
    </row>
    <row r="26" customFormat="false" ht="14.25" hidden="false" customHeight="false" outlineLevel="0" collapsed="false">
      <c r="B26" s="10" t="s">
        <v>26</v>
      </c>
      <c r="C26" s="34" t="s">
        <v>19</v>
      </c>
      <c r="D26" s="34"/>
      <c r="E26" s="13"/>
      <c r="G26" s="9"/>
    </row>
    <row r="27" customFormat="false" ht="15" hidden="false" customHeight="true" outlineLevel="0" collapsed="false">
      <c r="B27" s="36" t="s">
        <v>21</v>
      </c>
      <c r="C27" s="36"/>
      <c r="D27" s="35" t="n">
        <f aca="false">+((C18)*0)/360</f>
        <v>0</v>
      </c>
      <c r="E27" s="35"/>
      <c r="G27" s="37"/>
      <c r="H27" s="21"/>
    </row>
    <row r="28" customFormat="false" ht="14.25" hidden="false" customHeight="false" outlineLevel="0" collapsed="false">
      <c r="B28" s="10"/>
      <c r="C28" s="38"/>
      <c r="D28" s="12"/>
      <c r="E28" s="13"/>
      <c r="G28" s="37"/>
    </row>
    <row r="29" customFormat="false" ht="14.25" hidden="false" customHeight="false" outlineLevel="0" collapsed="false">
      <c r="B29" s="10" t="s">
        <v>27</v>
      </c>
      <c r="C29" s="34" t="s">
        <v>28</v>
      </c>
      <c r="D29" s="34"/>
      <c r="E29" s="13"/>
      <c r="G29" s="9"/>
    </row>
    <row r="30" customFormat="false" ht="14.25" hidden="false" customHeight="true" outlineLevel="0" collapsed="false">
      <c r="B30" s="40" t="s">
        <v>21</v>
      </c>
      <c r="C30" s="40"/>
      <c r="D30" s="41" t="n">
        <f aca="false">+((C15+C16)*0)/720</f>
        <v>0</v>
      </c>
      <c r="E30" s="41"/>
      <c r="G30" s="9"/>
    </row>
    <row r="31" customFormat="false" ht="14.25" hidden="false" customHeight="false" outlineLevel="0" collapsed="false">
      <c r="B31" s="23"/>
      <c r="C31" s="34"/>
      <c r="D31" s="34"/>
      <c r="E31" s="13"/>
      <c r="F31" s="28"/>
      <c r="G31" s="37"/>
    </row>
    <row r="32" customFormat="false" ht="15" hidden="false" customHeight="true" outlineLevel="0" collapsed="false">
      <c r="B32" s="23"/>
      <c r="C32" s="34"/>
      <c r="D32" s="34"/>
      <c r="E32" s="42"/>
      <c r="G32" s="9"/>
    </row>
    <row r="33" customFormat="false" ht="14.25" hidden="false" customHeight="false" outlineLevel="0" collapsed="false">
      <c r="B33" s="29" t="s">
        <v>29</v>
      </c>
      <c r="C33" s="43"/>
      <c r="D33" s="44" t="n">
        <f aca="false">+D21+D24+D27+D30</f>
        <v>0</v>
      </c>
      <c r="E33" s="44"/>
      <c r="G33" s="9"/>
    </row>
    <row r="34" customFormat="false" ht="14.25" hidden="false" customHeight="false" outlineLevel="0" collapsed="false">
      <c r="B34" s="29"/>
      <c r="C34" s="43"/>
      <c r="D34" s="45"/>
      <c r="E34" s="44"/>
      <c r="G34" s="37"/>
    </row>
    <row r="35" customFormat="false" ht="15" hidden="false" customHeight="true" outlineLevel="0" collapsed="false">
      <c r="B35" s="10" t="s">
        <v>30</v>
      </c>
      <c r="C35" s="46"/>
      <c r="D35" s="47"/>
      <c r="E35" s="48"/>
      <c r="G35" s="9"/>
    </row>
    <row r="36" customFormat="false" ht="14.25" hidden="false" customHeight="false" outlineLevel="0" collapsed="false">
      <c r="B36" s="23" t="s">
        <v>31</v>
      </c>
      <c r="C36" s="46"/>
      <c r="D36" s="12" t="n">
        <f aca="false">+(C15/30)*30</f>
        <v>1750905</v>
      </c>
      <c r="E36" s="48"/>
      <c r="G36" s="37"/>
    </row>
    <row r="37" customFormat="false" ht="14.25" hidden="false" customHeight="true" outlineLevel="0" collapsed="false">
      <c r="B37" s="49" t="s">
        <v>15</v>
      </c>
      <c r="C37" s="49"/>
      <c r="D37" s="12" t="n">
        <f aca="false">+C17/30*30</f>
        <v>249095</v>
      </c>
      <c r="E37" s="48"/>
      <c r="G37" s="9"/>
    </row>
    <row r="38" customFormat="false" ht="14.25" hidden="false" customHeight="false" outlineLevel="0" collapsed="false">
      <c r="B38" s="49" t="s">
        <v>32</v>
      </c>
      <c r="C38" s="50"/>
      <c r="D38" s="12" t="n">
        <v>0</v>
      </c>
      <c r="E38" s="48"/>
      <c r="G38" s="9"/>
    </row>
    <row r="39" customFormat="false" ht="14.25" hidden="false" customHeight="false" outlineLevel="0" collapsed="false">
      <c r="B39" s="49"/>
      <c r="C39" s="50"/>
      <c r="D39" s="12"/>
      <c r="E39" s="48"/>
      <c r="G39" s="9"/>
    </row>
    <row r="40" customFormat="false" ht="14.25" hidden="false" customHeight="false" outlineLevel="0" collapsed="false">
      <c r="B40" s="49"/>
      <c r="C40" s="50"/>
      <c r="D40" s="12"/>
      <c r="E40" s="48"/>
      <c r="F40" s="26"/>
      <c r="G40" s="9"/>
    </row>
    <row r="41" customFormat="false" ht="14.25" hidden="false" customHeight="false" outlineLevel="0" collapsed="false">
      <c r="B41" s="51" t="s">
        <v>33</v>
      </c>
      <c r="C41" s="52"/>
      <c r="D41" s="53" t="n">
        <f aca="false">+C15*4%</f>
        <v>70036.2</v>
      </c>
      <c r="E41" s="48"/>
      <c r="F41" s="26"/>
      <c r="G41" s="37"/>
    </row>
    <row r="42" customFormat="false" ht="14.25" hidden="false" customHeight="false" outlineLevel="0" collapsed="false">
      <c r="B42" s="51" t="s">
        <v>34</v>
      </c>
      <c r="C42" s="54"/>
      <c r="D42" s="53" t="n">
        <f aca="false">+C15*4%</f>
        <v>70036.2</v>
      </c>
      <c r="E42" s="48"/>
      <c r="G42" s="9"/>
    </row>
    <row r="43" customFormat="false" ht="14.25" hidden="false" customHeight="false" outlineLevel="0" collapsed="false">
      <c r="B43" s="51"/>
      <c r="C43" s="54"/>
      <c r="D43" s="53"/>
      <c r="E43" s="48"/>
      <c r="F43" s="26"/>
      <c r="G43" s="37"/>
    </row>
    <row r="44" customFormat="false" ht="14.25" hidden="false" customHeight="false" outlineLevel="0" collapsed="false">
      <c r="B44" s="51"/>
      <c r="C44" s="54"/>
      <c r="D44" s="53"/>
      <c r="E44" s="48"/>
      <c r="G44" s="9"/>
    </row>
    <row r="45" customFormat="false" ht="14.25" hidden="false" customHeight="false" outlineLevel="0" collapsed="false">
      <c r="B45" s="10" t="s">
        <v>35</v>
      </c>
      <c r="C45" s="55"/>
      <c r="D45" s="56" t="n">
        <f aca="false">+D36+D37+D38+D39+D40-D41-D42</f>
        <v>1859927.6</v>
      </c>
      <c r="E45" s="48"/>
      <c r="G45" s="9"/>
    </row>
    <row r="46" customFormat="false" ht="15" hidden="false" customHeight="true" outlineLevel="0" collapsed="false">
      <c r="B46" s="10"/>
      <c r="C46" s="46"/>
      <c r="D46" s="47"/>
      <c r="E46" s="13"/>
      <c r="G46" s="37"/>
    </row>
    <row r="47" customFormat="false" ht="15" hidden="false" customHeight="true" outlineLevel="0" collapsed="false">
      <c r="B47" s="10"/>
      <c r="C47" s="46"/>
      <c r="D47" s="47"/>
      <c r="E47" s="13"/>
      <c r="G47" s="9"/>
    </row>
    <row r="48" customFormat="false" ht="18" hidden="false" customHeight="true" outlineLevel="0" collapsed="false">
      <c r="B48" s="57" t="s">
        <v>36</v>
      </c>
      <c r="C48" s="58"/>
      <c r="D48" s="59" t="n">
        <f aca="false">+D33+D45</f>
        <v>1859927.6</v>
      </c>
      <c r="E48" s="59"/>
      <c r="F48" s="60"/>
      <c r="G48" s="37"/>
    </row>
    <row r="49" customFormat="false" ht="18" hidden="false" customHeight="true" outlineLevel="0" collapsed="false">
      <c r="B49" s="10"/>
      <c r="C49" s="14"/>
      <c r="D49" s="61"/>
      <c r="E49" s="13"/>
      <c r="F49" s="26"/>
      <c r="G49" s="62"/>
    </row>
    <row r="50" customFormat="false" ht="18" hidden="false" customHeight="true" outlineLevel="0" collapsed="false">
      <c r="B50" s="10"/>
      <c r="C50" s="14"/>
      <c r="D50" s="61"/>
      <c r="E50" s="13"/>
      <c r="G50" s="26"/>
    </row>
    <row r="51" customFormat="false" ht="14.25" hidden="false" customHeight="true" outlineLevel="0" collapsed="false">
      <c r="B51" s="63" t="s">
        <v>37</v>
      </c>
      <c r="C51" s="63"/>
      <c r="D51" s="63"/>
      <c r="E51" s="63"/>
      <c r="G51" s="26"/>
    </row>
    <row r="52" customFormat="false" ht="42" hidden="false" customHeight="true" outlineLevel="0" collapsed="false">
      <c r="B52" s="63"/>
      <c r="C52" s="63"/>
      <c r="D52" s="63"/>
      <c r="E52" s="63"/>
    </row>
    <row r="53" customFormat="false" ht="48" hidden="false" customHeight="true" outlineLevel="0" collapsed="false">
      <c r="B53" s="63"/>
      <c r="C53" s="63"/>
      <c r="D53" s="63"/>
      <c r="E53" s="63"/>
    </row>
    <row r="54" customFormat="false" ht="14.25" hidden="false" customHeight="false" outlineLevel="0" collapsed="false">
      <c r="B54" s="64" t="s">
        <v>38</v>
      </c>
      <c r="C54" s="14"/>
      <c r="D54" s="16" t="s">
        <v>39</v>
      </c>
      <c r="E54" s="13"/>
    </row>
    <row r="55" customFormat="false" ht="18" hidden="false" customHeight="true" outlineLevel="0" collapsed="false">
      <c r="B55" s="10"/>
      <c r="C55" s="14"/>
      <c r="D55" s="61"/>
      <c r="E55" s="13"/>
    </row>
    <row r="56" customFormat="false" ht="18" hidden="false" customHeight="true" outlineLevel="0" collapsed="false">
      <c r="B56" s="23"/>
      <c r="C56" s="14"/>
      <c r="D56" s="61"/>
      <c r="E56" s="13"/>
    </row>
    <row r="57" customFormat="false" ht="14.25" hidden="false" customHeight="false" outlineLevel="0" collapsed="false">
      <c r="B57" s="23"/>
      <c r="C57" s="14"/>
      <c r="D57" s="4"/>
      <c r="E57" s="13"/>
    </row>
    <row r="58" customFormat="false" ht="14.25" hidden="false" customHeight="false" outlineLevel="0" collapsed="false">
      <c r="B58" s="65" t="str">
        <f aca="false">+C6</f>
        <v>ANDRÉS FELIPE GÓMEZ LEÓN</v>
      </c>
      <c r="C58" s="65"/>
      <c r="D58" s="66"/>
      <c r="E58" s="67"/>
    </row>
    <row r="59" customFormat="false" ht="14.25" hidden="false" customHeight="false" outlineLevel="0" collapsed="false">
      <c r="B59" s="68" t="str">
        <f aca="false">+C7</f>
        <v>C.C. 16.890.321</v>
      </c>
      <c r="C59" s="55"/>
      <c r="D59" s="16" t="s">
        <v>40</v>
      </c>
      <c r="E59" s="69"/>
    </row>
    <row r="60" customFormat="false" ht="18" hidden="false" customHeight="true" outlineLevel="0" collapsed="false">
      <c r="B60" s="70"/>
      <c r="C60" s="70"/>
      <c r="D60" s="70"/>
      <c r="E60" s="13"/>
    </row>
    <row r="61" customFormat="false" ht="15" hidden="false" customHeight="true" outlineLevel="0" collapsed="false">
      <c r="B61" s="71"/>
      <c r="C61" s="71"/>
      <c r="D61" s="71"/>
      <c r="E61" s="71"/>
    </row>
    <row r="64" customFormat="false" ht="15" hidden="false" customHeight="true" outlineLevel="0" collapsed="false">
      <c r="B64" s="72" t="s">
        <v>41</v>
      </c>
      <c r="C64" s="72"/>
      <c r="D64" s="72"/>
    </row>
    <row r="65" customFormat="false" ht="15" hidden="false" customHeight="true" outlineLevel="0" collapsed="false">
      <c r="B65" s="73"/>
      <c r="C65" s="74"/>
      <c r="D65" s="75"/>
    </row>
    <row r="66" customFormat="false" ht="15" hidden="false" customHeight="true" outlineLevel="0" collapsed="false">
      <c r="B66" s="73"/>
      <c r="C66" s="74"/>
      <c r="D66" s="75"/>
    </row>
    <row r="67" customFormat="false" ht="15" hidden="false" customHeight="true" outlineLevel="0" collapsed="false">
      <c r="B67" s="76"/>
      <c r="C67" s="76"/>
      <c r="D67" s="77"/>
    </row>
    <row r="68" customFormat="false" ht="15" hidden="false" customHeight="true" outlineLevel="0" collapsed="false">
      <c r="B68" s="74" t="s">
        <v>1</v>
      </c>
      <c r="C68" s="78" t="str">
        <f aca="false">+C6</f>
        <v>ANDRÉS FELIPE GÓMEZ LEÓN</v>
      </c>
      <c r="D68" s="79"/>
    </row>
    <row r="69" customFormat="false" ht="15" hidden="false" customHeight="true" outlineLevel="0" collapsed="false">
      <c r="B69" s="74" t="s">
        <v>3</v>
      </c>
      <c r="C69" s="80" t="str">
        <f aca="false">+C7</f>
        <v>C.C. 16.890.321</v>
      </c>
      <c r="D69" s="75"/>
    </row>
    <row r="70" customFormat="false" ht="15" hidden="false" customHeight="true" outlineLevel="0" collapsed="false">
      <c r="B70" s="74" t="s">
        <v>5</v>
      </c>
      <c r="C70" s="80" t="str">
        <f aca="false">+C8</f>
        <v>PROFESIONAL DE MERCADEO</v>
      </c>
      <c r="D70" s="79"/>
    </row>
    <row r="71" customFormat="false" ht="15" hidden="false" customHeight="true" outlineLevel="0" collapsed="false">
      <c r="B71" s="74" t="s">
        <v>42</v>
      </c>
      <c r="C71" s="80" t="s">
        <v>43</v>
      </c>
      <c r="D71" s="79"/>
    </row>
    <row r="72" customFormat="false" ht="15" hidden="false" customHeight="true" outlineLevel="0" collapsed="false">
      <c r="B72" s="74"/>
      <c r="C72" s="78"/>
      <c r="D72" s="75"/>
    </row>
    <row r="73" customFormat="false" ht="15" hidden="false" customHeight="true" outlineLevel="0" collapsed="false">
      <c r="B73" s="74" t="s">
        <v>9</v>
      </c>
      <c r="C73" s="81" t="n">
        <f aca="false">+C11</f>
        <v>46082</v>
      </c>
      <c r="D73" s="75"/>
    </row>
    <row r="74" customFormat="false" ht="15" hidden="false" customHeight="true" outlineLevel="0" collapsed="false">
      <c r="B74" s="74" t="s">
        <v>44</v>
      </c>
      <c r="C74" s="81" t="n">
        <f aca="false">+C12</f>
        <v>45717</v>
      </c>
      <c r="D74" s="75"/>
    </row>
    <row r="75" customFormat="false" ht="15" hidden="false" customHeight="true" outlineLevel="0" collapsed="false">
      <c r="B75" s="79"/>
      <c r="C75" s="79"/>
      <c r="D75" s="75"/>
    </row>
    <row r="76" customFormat="false" ht="15" hidden="false" customHeight="true" outlineLevel="0" collapsed="false">
      <c r="B76" s="74" t="s">
        <v>13</v>
      </c>
      <c r="C76" s="82" t="n">
        <f aca="false">+C15+C16</f>
        <v>1750905</v>
      </c>
      <c r="D76" s="75"/>
    </row>
    <row r="77" customFormat="false" ht="15" hidden="false" customHeight="true" outlineLevel="0" collapsed="false">
      <c r="B77" s="76"/>
      <c r="C77" s="76"/>
      <c r="D77" s="77"/>
    </row>
    <row r="78" customFormat="false" ht="15" hidden="false" customHeight="true" outlineLevel="0" collapsed="false">
      <c r="B78" s="76"/>
      <c r="C78" s="76"/>
      <c r="D78" s="76"/>
    </row>
    <row r="79" customFormat="false" ht="15" hidden="false" customHeight="true" outlineLevel="0" collapsed="false">
      <c r="B79" s="76"/>
      <c r="C79" s="76"/>
      <c r="D79" s="76"/>
    </row>
    <row r="80" customFormat="false" ht="15" hidden="false" customHeight="true" outlineLevel="0" collapsed="false">
      <c r="B80" s="83" t="s">
        <v>41</v>
      </c>
      <c r="C80" s="79"/>
      <c r="D80" s="75"/>
    </row>
    <row r="81" customFormat="false" ht="15" hidden="false" customHeight="true" outlineLevel="0" collapsed="false">
      <c r="B81" s="83"/>
      <c r="C81" s="84" t="s">
        <v>45</v>
      </c>
      <c r="D81" s="75" t="n">
        <f aca="false">+C76</f>
        <v>1750905</v>
      </c>
    </row>
    <row r="82" customFormat="false" ht="15" hidden="false" customHeight="true" outlineLevel="0" collapsed="false">
      <c r="B82" s="83"/>
      <c r="C82" s="84"/>
      <c r="D82" s="75"/>
    </row>
    <row r="83" customFormat="false" ht="15" hidden="false" customHeight="true" outlineLevel="0" collapsed="false">
      <c r="B83" s="83"/>
      <c r="C83" s="84"/>
      <c r="D83" s="75"/>
    </row>
    <row r="84" customFormat="false" ht="15" hidden="false" customHeight="true" outlineLevel="0" collapsed="false">
      <c r="B84" s="83"/>
      <c r="C84" s="85"/>
      <c r="D84" s="86"/>
    </row>
    <row r="85" customFormat="false" ht="15" hidden="false" customHeight="true" outlineLevel="0" collapsed="false">
      <c r="B85" s="87" t="s">
        <v>46</v>
      </c>
      <c r="C85" s="88"/>
      <c r="D85" s="89" t="n">
        <f aca="false">+SUM(D81:D83)</f>
        <v>1750905</v>
      </c>
    </row>
    <row r="86" customFormat="false" ht="15" hidden="false" customHeight="true" outlineLevel="0" collapsed="false">
      <c r="B86" s="76"/>
      <c r="C86" s="76"/>
      <c r="D86" s="76"/>
      <c r="G86" s="90"/>
    </row>
    <row r="87" customFormat="false" ht="15" hidden="false" customHeight="true" outlineLevel="0" collapsed="false">
      <c r="B87" s="91"/>
      <c r="C87" s="76"/>
      <c r="D87" s="92"/>
    </row>
    <row r="88" customFormat="false" ht="58.5" hidden="false" customHeight="true" outlineLevel="0" collapsed="false">
      <c r="B88" s="93" t="s">
        <v>47</v>
      </c>
      <c r="C88" s="93"/>
      <c r="D88" s="93"/>
    </row>
    <row r="89" customFormat="false" ht="15" hidden="false" customHeight="true" outlineLevel="0" collapsed="false">
      <c r="B89" s="76"/>
      <c r="C89" s="76"/>
      <c r="D89" s="76"/>
    </row>
    <row r="90" customFormat="false" ht="15" hidden="false" customHeight="true" outlineLevel="0" collapsed="false">
      <c r="B90" s="76" t="s">
        <v>38</v>
      </c>
      <c r="C90" s="76"/>
      <c r="D90" s="76" t="s">
        <v>39</v>
      </c>
    </row>
    <row r="91" customFormat="false" ht="15" hidden="false" customHeight="true" outlineLevel="0" collapsed="false">
      <c r="B91" s="76"/>
      <c r="C91" s="76"/>
      <c r="D91" s="76"/>
    </row>
    <row r="92" customFormat="false" ht="15" hidden="false" customHeight="true" outlineLevel="0" collapsed="false">
      <c r="B92" s="76"/>
      <c r="C92" s="76"/>
      <c r="D92" s="76"/>
    </row>
    <row r="93" customFormat="false" ht="15" hidden="false" customHeight="true" outlineLevel="0" collapsed="false">
      <c r="B93" s="76"/>
      <c r="C93" s="76"/>
      <c r="D93" s="76"/>
    </row>
    <row r="94" customFormat="false" ht="15" hidden="false" customHeight="true" outlineLevel="0" collapsed="false">
      <c r="B94" s="76"/>
      <c r="C94" s="76"/>
      <c r="D94" s="76"/>
    </row>
    <row r="95" customFormat="false" ht="15" hidden="false" customHeight="true" outlineLevel="0" collapsed="false">
      <c r="B95" s="76"/>
      <c r="C95" s="76"/>
      <c r="D95" s="76"/>
    </row>
    <row r="96" customFormat="false" ht="15" hidden="false" customHeight="true" outlineLevel="0" collapsed="false">
      <c r="B96" s="94" t="str">
        <f aca="false">+C68</f>
        <v>ANDRÉS FELIPE GÓMEZ LEÓN</v>
      </c>
      <c r="C96" s="74"/>
      <c r="D96" s="82" t="n">
        <f aca="false">+D58</f>
        <v>0</v>
      </c>
    </row>
    <row r="97" customFormat="false" ht="15" hidden="false" customHeight="true" outlineLevel="0" collapsed="false">
      <c r="B97" s="73" t="str">
        <f aca="false">+C69</f>
        <v>C.C. 16.890.321</v>
      </c>
      <c r="C97" s="74"/>
      <c r="D97" s="75" t="str">
        <f aca="false">+D59</f>
        <v>Representante Legal</v>
      </c>
    </row>
  </sheetData>
  <mergeCells count="27">
    <mergeCell ref="B2:E3"/>
    <mergeCell ref="G5:H5"/>
    <mergeCell ref="D14:E14"/>
    <mergeCell ref="C20:D20"/>
    <mergeCell ref="B21:C21"/>
    <mergeCell ref="D21:E21"/>
    <mergeCell ref="C23:D23"/>
    <mergeCell ref="B24:C24"/>
    <mergeCell ref="D24:E24"/>
    <mergeCell ref="C26:D26"/>
    <mergeCell ref="B27:C27"/>
    <mergeCell ref="D27:E27"/>
    <mergeCell ref="C29:D29"/>
    <mergeCell ref="B30:C30"/>
    <mergeCell ref="D30:E30"/>
    <mergeCell ref="C31:D31"/>
    <mergeCell ref="C32:D32"/>
    <mergeCell ref="D33:E33"/>
    <mergeCell ref="B37:C37"/>
    <mergeCell ref="D48:E48"/>
    <mergeCell ref="B51:E53"/>
    <mergeCell ref="B58:C58"/>
    <mergeCell ref="B60:D60"/>
    <mergeCell ref="B61:E61"/>
    <mergeCell ref="B64:D64"/>
    <mergeCell ref="B80:B84"/>
    <mergeCell ref="B88:D8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63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62" man="true" max="16383" min="0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2026-02-09T21:40:49Z</dcterms:created>
  <dc:creator>Jury Sadith Barbetti Monsalve</dc:creator>
  <dc:description/>
  <dc:language>en-US</dc:language>
  <cp:lastModifiedBy>Jury Sadith Barbetti Monsalve</cp:lastModifiedBy>
  <cp:lastPrinted>2026-05-04T18:09:32Z</cp:lastPrinted>
  <dcterms:modified xsi:type="dcterms:W3CDTF">2026-06-19T03:02:55Z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